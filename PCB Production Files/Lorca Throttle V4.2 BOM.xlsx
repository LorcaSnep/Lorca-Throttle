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ckc\Desktop\"/>
    </mc:Choice>
  </mc:AlternateContent>
  <xr:revisionPtr revIDLastSave="0" documentId="13_ncr:1_{05A3EFB0-30B3-4E11-A03E-4D618185386A}" xr6:coauthVersionLast="47" xr6:coauthVersionMax="47" xr10:uidLastSave="{00000000-0000-0000-0000-000000000000}"/>
  <bookViews>
    <workbookView xWindow="-120" yWindow="-120" windowWidth="38640" windowHeight="15840" xr2:uid="{4549E17E-C753-483D-AE7F-63115CA970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1" l="1"/>
  <c r="I7" i="1"/>
  <c r="I6" i="1"/>
  <c r="I5" i="1"/>
  <c r="I4" i="1"/>
</calcChain>
</file>

<file path=xl/sharedStrings.xml><?xml version="1.0" encoding="utf-8"?>
<sst xmlns="http://schemas.openxmlformats.org/spreadsheetml/2006/main" count="92" uniqueCount="83">
  <si>
    <t>3V3</t>
  </si>
  <si>
    <t>BQ24075RGTR</t>
  </si>
  <si>
    <t>BAT_CHRG</t>
  </si>
  <si>
    <t>10uF 0402</t>
  </si>
  <si>
    <t>100nF 0402</t>
  </si>
  <si>
    <t>CP2102N-A02-GQFN24</t>
  </si>
  <si>
    <t>CP2102</t>
  </si>
  <si>
    <t>ESP32-WROOM-32E-N8R2</t>
  </si>
  <si>
    <t>ESP</t>
  </si>
  <si>
    <t>L1</t>
  </si>
  <si>
    <t>R3</t>
  </si>
  <si>
    <t>5.1K 0402 Resistor</t>
  </si>
  <si>
    <t>R1, R2</t>
  </si>
  <si>
    <t>2K Ohm 5% 0402</t>
  </si>
  <si>
    <t>22.1K Ohm 5% 0402</t>
  </si>
  <si>
    <t>R4</t>
  </si>
  <si>
    <t>47.5K Ohm 5% 0402</t>
  </si>
  <si>
    <t>10K Ohm 5% 0402</t>
  </si>
  <si>
    <t>R13</t>
  </si>
  <si>
    <t>USB4110-GF-A</t>
  </si>
  <si>
    <t>USB</t>
  </si>
  <si>
    <t>SP0503BAHTG</t>
  </si>
  <si>
    <t>USB_PR</t>
  </si>
  <si>
    <t>Component</t>
  </si>
  <si>
    <t>Quantity</t>
  </si>
  <si>
    <t>Designator</t>
  </si>
  <si>
    <t>Manufacturer Part Number</t>
  </si>
  <si>
    <t>Digikey Part Number</t>
  </si>
  <si>
    <t>GRT155R61A106ME13J</t>
  </si>
  <si>
    <t>490-GRT155R61A106ME13JCT-ND</t>
  </si>
  <si>
    <t>GRT155R71C104KE01D</t>
  </si>
  <si>
    <t>490-GRT155R71C104KE01DCT-ND</t>
  </si>
  <si>
    <t>5407-ESP32-WROOM-32E-N8R2CT-ND</t>
  </si>
  <si>
    <t>2073-USB4110-GF-A-1-ND</t>
  </si>
  <si>
    <t>F2715CT-ND</t>
  </si>
  <si>
    <t>RK73H1ETTP5101F</t>
  </si>
  <si>
    <t>2019-RK73H1ETTP5101FCT-ND</t>
  </si>
  <si>
    <t>RK73H1ETTP2001D</t>
  </si>
  <si>
    <t>2019-RK73H1ETTP2001DCT-ND</t>
  </si>
  <si>
    <t>RK73H1ETTP2212F</t>
  </si>
  <si>
    <t>2019-RK73H1ETTP2212FCT-ND</t>
  </si>
  <si>
    <t>RK73H1ETTP4752F</t>
  </si>
  <si>
    <t>2019-RK73H1ETTP4752FCT-ND</t>
  </si>
  <si>
    <t>RK73H1ETTP1002D</t>
  </si>
  <si>
    <t>2019-RK73H1ETTP1002DCT-ND</t>
  </si>
  <si>
    <t>732-5683-1-ND</t>
  </si>
  <si>
    <t>336-5887-ND</t>
  </si>
  <si>
    <t>296-38874-1-ND</t>
  </si>
  <si>
    <t>BAT</t>
  </si>
  <si>
    <t>ASMB-LTB2-0A333</t>
  </si>
  <si>
    <t>CHRG_LED</t>
  </si>
  <si>
    <t>DIR, S0, S1, S2, S3, S4, S5, S6, S7, S8, S9, S#, S*</t>
  </si>
  <si>
    <t>DISP</t>
  </si>
  <si>
    <t>EC05E1220401</t>
  </si>
  <si>
    <t>EC1</t>
  </si>
  <si>
    <t>PCM12SMTR</t>
  </si>
  <si>
    <t>PWR</t>
  </si>
  <si>
    <t>R6, R7, R8, R9, R10, R11, R12, R14, R15, R20, R21</t>
  </si>
  <si>
    <t>WM7622CT-ND</t>
  </si>
  <si>
    <t>563-1102-1-ND</t>
  </si>
  <si>
    <t>4809-EC05E1220401CT-ND</t>
  </si>
  <si>
    <t>WM7620CT-ND</t>
  </si>
  <si>
    <t>732-430133050816CT-ND</t>
  </si>
  <si>
    <t>516-4289-1-ND</t>
  </si>
  <si>
    <t>Q1, Q2</t>
  </si>
  <si>
    <t>SS8050-G</t>
  </si>
  <si>
    <t>641-1790-1-ND</t>
  </si>
  <si>
    <t>LM3671MFX-3.3_NOPB</t>
  </si>
  <si>
    <t>LM3671MFX-3.3/NOPB</t>
  </si>
  <si>
    <t>296-45289-1-ND</t>
  </si>
  <si>
    <t>47uF 0603 Cap</t>
  </si>
  <si>
    <t>GRM188R60J476ME15D</t>
  </si>
  <si>
    <t>490-13247-1-ND</t>
  </si>
  <si>
    <t>2.21K 0402 Resistor</t>
  </si>
  <si>
    <t>RK73H1ETTP2211F</t>
  </si>
  <si>
    <t>2019-RK73H1ETTP2211FCT-ND</t>
  </si>
  <si>
    <t>Feeder Reel Size (mm)</t>
  </si>
  <si>
    <t>Total</t>
  </si>
  <si>
    <t>Reel Width (mm)</t>
  </si>
  <si>
    <t>C1, C3, C5, C7, C8, C9, C10</t>
  </si>
  <si>
    <t>C4, C6, C11</t>
  </si>
  <si>
    <t>R5, R16, R17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</si>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</sst>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Fill="1" applyBorder="1"/>
    <xf numFmtId="0" fontId="0" fillId="0" borderId="3" xfId="0" applyBorder="1"/>
    <xf numFmtId="0" fontId="0" fillId="0" borderId="0" xfId="0" applyFill="1" applyBorder="1"/>
    <xf numFmtId="0" fontId="0" fillId="0" borderId="2" xfId="0" applyBorder="1"/>
    <xf numFmtId="0" fontId="0" fillId="2" borderId="3" xfId="0" applyFill="1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BF14-26B4-4B57-B357-C804817381C0}">
  <dimension ref="A1:I25"/>
  <sheetViews>
    <sheetView tabSelected="1" workbookViewId="0">
      <selection activeCell="I21" sqref="I21"/>
    </sheetView>
  </sheetViews>
  <sheetFormatPr defaultRowHeight="15" x14ac:dyDescent="0.25"/>
  <cols>
    <col min="1" max="1" width="25.140625" customWidth="1"/>
    <col min="2" max="2" width="24.85546875" customWidth="1"/>
    <col min="3" max="3" width="34.28515625" customWidth="1"/>
    <col min="4" max="4" width="42.140625" customWidth="1"/>
    <col min="5" max="5" width="9.28515625" customWidth="1"/>
    <col min="6" max="6" width="20.28515625" customWidth="1"/>
    <col min="8" max="8" width="15.7109375" customWidth="1"/>
  </cols>
  <sheetData>
    <row r="1" spans="1:9" x14ac:dyDescent="0.25">
      <c r="A1" s="2" t="s">
        <v>23</v>
      </c>
      <c r="B1" s="2" t="s">
        <v>26</v>
      </c>
      <c r="C1" s="2" t="s">
        <v>27</v>
      </c>
      <c r="D1" s="2" t="s">
        <v>25</v>
      </c>
      <c r="E1" s="2" t="s">
        <v>24</v>
      </c>
      <c r="F1" s="7" t="s">
        <v>76</v>
      </c>
      <c r="G1" s="3"/>
    </row>
    <row r="2" spans="1:9" x14ac:dyDescent="0.25">
      <c r="A2" t="s">
        <v>67</v>
      </c>
      <c r="B2" s="1" t="s">
        <v>68</v>
      </c>
      <c r="C2" s="1" t="s">
        <v>69</v>
      </c>
      <c r="D2" s="1" t="s">
        <v>0</v>
      </c>
      <c r="E2" s="4">
        <v>1</v>
      </c>
      <c r="F2" s="8">
        <v>8</v>
      </c>
      <c r="G2" s="3"/>
    </row>
    <row r="3" spans="1:9" x14ac:dyDescent="0.25">
      <c r="A3" s="1" t="s">
        <v>1</v>
      </c>
      <c r="B3" s="1" t="s">
        <v>1</v>
      </c>
      <c r="C3" s="1" t="s">
        <v>47</v>
      </c>
      <c r="D3" s="1" t="s">
        <v>2</v>
      </c>
      <c r="E3" s="4">
        <v>1</v>
      </c>
      <c r="F3" s="8">
        <v>12</v>
      </c>
      <c r="G3" s="3"/>
      <c r="H3" s="2" t="s">
        <v>78</v>
      </c>
      <c r="I3" s="2" t="s">
        <v>77</v>
      </c>
    </row>
    <row r="4" spans="1:9" x14ac:dyDescent="0.25">
      <c r="A4" s="1" t="s">
        <v>5</v>
      </c>
      <c r="B4" s="1" t="s">
        <v>5</v>
      </c>
      <c r="C4" s="1" t="s">
        <v>46</v>
      </c>
      <c r="D4" s="1" t="s">
        <v>6</v>
      </c>
      <c r="E4" s="4">
        <v>1</v>
      </c>
      <c r="F4" s="8">
        <v>12</v>
      </c>
      <c r="G4" s="3"/>
      <c r="H4" s="1">
        <v>8</v>
      </c>
      <c r="I4" s="1">
        <f>COUNTIF(F2:F24, 8)</f>
        <v>14</v>
      </c>
    </row>
    <row r="5" spans="1:9" x14ac:dyDescent="0.25">
      <c r="A5" s="1" t="s">
        <v>7</v>
      </c>
      <c r="B5" s="1" t="s">
        <v>7</v>
      </c>
      <c r="C5" s="1" t="s">
        <v>32</v>
      </c>
      <c r="D5" s="1" t="s">
        <v>8</v>
      </c>
      <c r="E5" s="4">
        <v>1</v>
      </c>
      <c r="F5" s="8">
        <v>44</v>
      </c>
      <c r="G5" s="3"/>
      <c r="H5" s="1">
        <v>12</v>
      </c>
      <c r="I5" s="1">
        <f>COUNTIF(F2:F24, 12)</f>
        <v>2</v>
      </c>
    </row>
    <row r="6" spans="1:9" x14ac:dyDescent="0.25">
      <c r="A6" s="1" t="s">
        <v>65</v>
      </c>
      <c r="B6" s="1" t="s">
        <v>65</v>
      </c>
      <c r="C6" s="1" t="s">
        <v>66</v>
      </c>
      <c r="D6" s="1" t="s">
        <v>64</v>
      </c>
      <c r="E6" s="4">
        <v>2</v>
      </c>
      <c r="F6" s="8">
        <v>8</v>
      </c>
      <c r="G6" s="3"/>
      <c r="H6" s="1">
        <v>16</v>
      </c>
      <c r="I6" s="1">
        <f>COUNTIF(F2:F24, 16)</f>
        <v>4</v>
      </c>
    </row>
    <row r="7" spans="1:9" x14ac:dyDescent="0.25">
      <c r="A7" s="1" t="s">
        <v>19</v>
      </c>
      <c r="B7" s="1" t="s">
        <v>19</v>
      </c>
      <c r="C7" s="1" t="s">
        <v>33</v>
      </c>
      <c r="D7" s="1" t="s">
        <v>20</v>
      </c>
      <c r="E7" s="4">
        <v>1</v>
      </c>
      <c r="F7" s="8">
        <v>24</v>
      </c>
      <c r="G7" s="3"/>
      <c r="H7" s="1">
        <v>24</v>
      </c>
      <c r="I7" s="1">
        <f>COUNTIF(F2:F24, 24)</f>
        <v>2</v>
      </c>
    </row>
    <row r="8" spans="1:9" x14ac:dyDescent="0.25">
      <c r="A8" t="s">
        <v>21</v>
      </c>
      <c r="B8" s="1" t="s">
        <v>21</v>
      </c>
      <c r="C8" s="1" t="s">
        <v>34</v>
      </c>
      <c r="D8" s="1" t="s">
        <v>22</v>
      </c>
      <c r="E8" s="4">
        <v>1</v>
      </c>
      <c r="F8" s="8">
        <v>8</v>
      </c>
      <c r="G8" s="3"/>
      <c r="H8" s="1">
        <v>44</v>
      </c>
      <c r="I8" s="1">
        <f>COUNTIF(F2:F24, 44)</f>
        <v>1</v>
      </c>
    </row>
    <row r="9" spans="1:9" x14ac:dyDescent="0.25">
      <c r="A9" s="1">
        <v>74438324022</v>
      </c>
      <c r="B9" s="1">
        <v>74438324022</v>
      </c>
      <c r="C9" s="1" t="s">
        <v>45</v>
      </c>
      <c r="D9" s="1" t="s">
        <v>9</v>
      </c>
      <c r="E9" s="4">
        <v>1</v>
      </c>
      <c r="F9" s="4">
        <v>8</v>
      </c>
      <c r="G9" s="3"/>
    </row>
    <row r="10" spans="1:9" x14ac:dyDescent="0.25">
      <c r="A10" s="1" t="s">
        <v>13</v>
      </c>
      <c r="B10" s="1" t="s">
        <v>37</v>
      </c>
      <c r="C10" s="1" t="s">
        <v>38</v>
      </c>
      <c r="D10" s="1" t="s">
        <v>10</v>
      </c>
      <c r="E10" s="4">
        <v>1</v>
      </c>
      <c r="F10" s="8">
        <v>8</v>
      </c>
      <c r="G10" s="3"/>
    </row>
    <row r="11" spans="1:9" x14ac:dyDescent="0.25">
      <c r="A11" t="s">
        <v>73</v>
      </c>
      <c r="B11" s="1" t="s">
        <v>74</v>
      </c>
      <c r="C11" s="1" t="s">
        <v>75</v>
      </c>
      <c r="D11" s="1" t="s">
        <v>18</v>
      </c>
      <c r="E11" s="4">
        <v>1</v>
      </c>
      <c r="F11" s="8">
        <v>8</v>
      </c>
      <c r="G11" s="3"/>
    </row>
    <row r="12" spans="1:9" x14ac:dyDescent="0.25">
      <c r="A12" s="1" t="s">
        <v>11</v>
      </c>
      <c r="B12" s="1" t="s">
        <v>35</v>
      </c>
      <c r="C12" s="1" t="s">
        <v>36</v>
      </c>
      <c r="D12" s="1" t="s">
        <v>12</v>
      </c>
      <c r="E12" s="4">
        <v>2</v>
      </c>
      <c r="F12" s="8">
        <v>8</v>
      </c>
      <c r="G12" s="3"/>
    </row>
    <row r="13" spans="1:9" x14ac:dyDescent="0.25">
      <c r="A13" s="1" t="s">
        <v>17</v>
      </c>
      <c r="B13" s="1" t="s">
        <v>43</v>
      </c>
      <c r="C13" s="1" t="s">
        <v>44</v>
      </c>
      <c r="D13" s="1" t="s">
        <v>57</v>
      </c>
      <c r="E13" s="4">
        <v>11</v>
      </c>
      <c r="F13" s="8">
        <v>8</v>
      </c>
      <c r="G13" s="3"/>
    </row>
    <row r="14" spans="1:9" x14ac:dyDescent="0.25">
      <c r="A14" s="1" t="s">
        <v>14</v>
      </c>
      <c r="B14" s="1" t="s">
        <v>39</v>
      </c>
      <c r="C14" s="1" t="s">
        <v>40</v>
      </c>
      <c r="D14" s="1" t="s">
        <v>15</v>
      </c>
      <c r="E14" s="4">
        <v>1</v>
      </c>
      <c r="F14" s="8">
        <v>8</v>
      </c>
      <c r="G14" s="3"/>
    </row>
    <row r="15" spans="1:9" x14ac:dyDescent="0.25">
      <c r="A15" s="1" t="s">
        <v>16</v>
      </c>
      <c r="B15" s="1" t="s">
        <v>41</v>
      </c>
      <c r="C15" s="1" t="s">
        <v>42</v>
      </c>
      <c r="D15" s="1" t="s">
        <v>81</v>
      </c>
      <c r="E15" s="4">
        <v>3</v>
      </c>
      <c r="F15" s="8">
        <v>8</v>
      </c>
      <c r="G15" s="3"/>
    </row>
    <row r="16" spans="1:9" x14ac:dyDescent="0.25">
      <c r="A16" s="1" t="s">
        <v>4</v>
      </c>
      <c r="B16" s="1" t="s">
        <v>30</v>
      </c>
      <c r="C16" s="1" t="s">
        <v>31</v>
      </c>
      <c r="D16" s="1" t="s">
        <v>80</v>
      </c>
      <c r="E16" s="4">
        <v>3</v>
      </c>
      <c r="F16" s="8">
        <v>8</v>
      </c>
      <c r="G16" s="6"/>
    </row>
    <row r="17" spans="1:7" x14ac:dyDescent="0.25">
      <c r="A17" s="1" t="s">
        <v>3</v>
      </c>
      <c r="B17" s="1" t="s">
        <v>28</v>
      </c>
      <c r="C17" s="1" t="s">
        <v>29</v>
      </c>
      <c r="D17" s="1" t="s">
        <v>79</v>
      </c>
      <c r="E17" s="4">
        <v>7</v>
      </c>
      <c r="F17" s="8">
        <v>8</v>
      </c>
      <c r="G17" s="3"/>
    </row>
    <row r="18" spans="1:7" x14ac:dyDescent="0.25">
      <c r="A18" t="s">
        <v>70</v>
      </c>
      <c r="B18" s="1" t="s">
        <v>71</v>
      </c>
      <c r="C18" s="1" t="s">
        <v>72</v>
      </c>
      <c r="D18" t="s">
        <v>82</v>
      </c>
      <c r="E18" s="4">
        <v>1</v>
      </c>
      <c r="F18" s="8">
        <v>8</v>
      </c>
      <c r="G18" s="3"/>
    </row>
    <row r="19" spans="1:7" x14ac:dyDescent="0.25">
      <c r="A19" s="1">
        <v>532610271</v>
      </c>
      <c r="B19" s="1">
        <v>532610271</v>
      </c>
      <c r="C19" s="1" t="s">
        <v>61</v>
      </c>
      <c r="D19" s="1" t="s">
        <v>48</v>
      </c>
      <c r="E19" s="4">
        <v>1</v>
      </c>
      <c r="F19" s="4">
        <v>16</v>
      </c>
      <c r="G19" s="3"/>
    </row>
    <row r="20" spans="1:7" x14ac:dyDescent="0.25">
      <c r="A20" s="1">
        <v>532610471</v>
      </c>
      <c r="B20" s="1">
        <v>532610471</v>
      </c>
      <c r="C20" s="1" t="s">
        <v>58</v>
      </c>
      <c r="D20" s="1" t="s">
        <v>52</v>
      </c>
      <c r="E20" s="4">
        <v>1</v>
      </c>
      <c r="F20" s="4">
        <v>24</v>
      </c>
      <c r="G20" s="6"/>
    </row>
    <row r="21" spans="1:7" x14ac:dyDescent="0.25">
      <c r="A21" s="1">
        <v>430133050816</v>
      </c>
      <c r="B21" s="1">
        <v>430133050816</v>
      </c>
      <c r="C21" s="1" t="s">
        <v>62</v>
      </c>
      <c r="D21" s="1" t="s">
        <v>51</v>
      </c>
      <c r="E21" s="4">
        <v>13</v>
      </c>
      <c r="F21" s="4">
        <v>16</v>
      </c>
      <c r="G21" s="6"/>
    </row>
    <row r="22" spans="1:7" x14ac:dyDescent="0.25">
      <c r="A22" s="1" t="s">
        <v>55</v>
      </c>
      <c r="B22" s="1" t="s">
        <v>55</v>
      </c>
      <c r="C22" s="1" t="s">
        <v>59</v>
      </c>
      <c r="D22" s="1" t="s">
        <v>56</v>
      </c>
      <c r="E22" s="4">
        <v>1</v>
      </c>
      <c r="F22" s="8">
        <v>16</v>
      </c>
      <c r="G22" s="6"/>
    </row>
    <row r="23" spans="1:7" x14ac:dyDescent="0.25">
      <c r="A23" s="1" t="s">
        <v>53</v>
      </c>
      <c r="B23" s="1" t="s">
        <v>53</v>
      </c>
      <c r="C23" s="1" t="s">
        <v>60</v>
      </c>
      <c r="D23" s="1" t="s">
        <v>54</v>
      </c>
      <c r="E23" s="4">
        <v>1</v>
      </c>
      <c r="F23" s="8">
        <v>16</v>
      </c>
      <c r="G23" s="3"/>
    </row>
    <row r="24" spans="1:7" x14ac:dyDescent="0.25">
      <c r="A24" s="1" t="s">
        <v>49</v>
      </c>
      <c r="B24" s="1" t="s">
        <v>49</v>
      </c>
      <c r="C24" s="1" t="s">
        <v>63</v>
      </c>
      <c r="D24" s="1" t="s">
        <v>50</v>
      </c>
      <c r="E24" s="4">
        <v>1</v>
      </c>
      <c r="F24" s="8">
        <v>8</v>
      </c>
      <c r="G24" s="3"/>
    </row>
    <row r="25" spans="1:7" x14ac:dyDescent="0.25">
      <c r="G2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Lapointe</dc:creator>
  <cp:lastModifiedBy>Jack Lapointe</cp:lastModifiedBy>
  <dcterms:created xsi:type="dcterms:W3CDTF">2025-10-11T19:51:36Z</dcterms:created>
  <dcterms:modified xsi:type="dcterms:W3CDTF">2026-03-01T08:09:25Z</dcterms:modified>
</cp:coreProperties>
</file>